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p32bbk\Documents\Projet_106\"/>
    </mc:Choice>
  </mc:AlternateContent>
  <xr:revisionPtr revIDLastSave="0" documentId="13_ncr:1_{09DD777C-2F4A-49D7-BAB6-7C02E3DCAD17}" xr6:coauthVersionLast="47" xr6:coauthVersionMax="47" xr10:uidLastSave="{00000000-0000-0000-0000-000000000000}"/>
  <bookViews>
    <workbookView xWindow="3510" yWindow="3510" windowWidth="21600" windowHeight="11385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istTasks">#REF!</definedName>
    <definedName name="lstTasks">Donnees!$C$20:$C$45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8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9" i="155" l="1"/>
  <c r="D58" i="155" s="1"/>
  <c r="D77" i="155" s="1"/>
  <c r="D96" i="155" s="1"/>
  <c r="D115" i="155" s="1"/>
  <c r="D134" i="155" s="1"/>
  <c r="D153" i="155" s="1"/>
  <c r="D172" i="155" s="1"/>
  <c r="B189" i="155"/>
  <c r="B170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<sst xmlns="http://schemas.openxmlformats.org/spreadsheetml/2006/main" count="138" uniqueCount="45">
  <si>
    <t>Module :</t>
  </si>
  <si>
    <t>Prénom - nom :</t>
  </si>
  <si>
    <t>Classe :</t>
  </si>
  <si>
    <t>Lieu :</t>
  </si>
  <si>
    <t>Lausanne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</si>
  <si>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</si>
  <si>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</si>
  <si>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</si>
  <si>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</si>
  <si>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</si>
  <si>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</si>
  <si>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</si>
  <si>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</si>
  <si>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Absence - Imprévus</t>
  </si>
  <si>
    <t>Vacances</t>
  </si>
  <si>
    <t>Introduction</t>
  </si>
  <si>
    <t>JNLTRAV</t>
  </si>
  <si>
    <t>Tâches - objectifs</t>
  </si>
  <si>
    <t>Nb 1/4 heure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</si>
  <si>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</si>
  <si>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</si>
  <si>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</si>
  <si>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</si>
  <si>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</si>
  <si>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</si>
  <si>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</si>
  <si>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</si>
  <si>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</si>
  <si>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P_Secu-I114</t>
  </si>
  <si>
    <t>CIN2B</t>
  </si>
  <si>
    <t>Max. 9</t>
  </si>
  <si>
    <t>STOP</t>
  </si>
  <si>
    <t>Aleksandar Stoilov</t>
  </si>
  <si>
    <t>création du mcd</t>
  </si>
  <si>
    <t>Création de la base de données</t>
  </si>
  <si>
    <t>Insertion des données</t>
  </si>
  <si>
    <t>Rapport</t>
  </si>
  <si>
    <t>J'ai créer le mcd du projet et l'enseignant a vérifier que le mcd était correct</t>
  </si>
  <si>
    <t>Il y a eu pas mal d'erreur pour la création des tables ce qui m'a pris pas mal de temps</t>
  </si>
  <si>
    <t>j'ai utiliser chat gpt pour me créer les données</t>
  </si>
  <si>
    <t>après un problème de sauvegarde j'ai dû recommencer l'insertion des données avec l'aide de chat gpt</t>
  </si>
  <si>
    <t>Creation des rôle</t>
  </si>
  <si>
    <t>Creation des requêtes</t>
  </si>
  <si>
    <t>J'ai fini de créer les rôles</t>
  </si>
  <si>
    <t>j'ai commencé à faire les requêtes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</si>
</sst>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8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u/>
      <sz val="10"/>
      <color theme="10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BF1DE"/>
        <bgColor rgb="FF000000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5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  <xf numFmtId="0" fontId="16" fillId="0" borderId="0" applyNumberFormat="0" applyFill="0" applyBorder="0" applyAlignment="0" applyProtection="0"/>
  </cellStyleXfs>
  <cellXfs count="95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15" fillId="14" borderId="25" xfId="0" applyFont="1" applyFill="1" applyBorder="1" applyAlignment="1">
      <alignment horizontal="left" vertical="center" indent="2"/>
    </xf>
    <xf numFmtId="0" fontId="9" fillId="12" borderId="13" xfId="0" applyFont="1" applyFill="1" applyBorder="1" applyAlignment="1">
      <alignment horizontal="left" vertical="top" wrapText="1"/>
    </xf>
    <xf numFmtId="0" fontId="17" fillId="9" borderId="0" xfId="0" applyFont="1" applyFill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 applyAlignment="1"/>
  </cellXfs>
  <cellStyles count="5">
    <cellStyle name="Hyperlink" xfId="4" xr:uid="{00000000-0005-0000-0000-000000000000}"/>
    <cellStyle name="Lien hypertexte" xfId="1" builtinId="8"/>
    <cellStyle name="Normal" xfId="0" builtinId="0" customBuiltin="1"/>
    <cellStyle name="Normal 2" xfId="2" xr:uid="{00000000-0005-0000-0000-000003000000}"/>
    <cellStyle name="Normal 2 2" xfId="3" xr:uid="{00000000-0005-0000-0000-000004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16" zoomScaleNormal="100" zoomScaleSheetLayoutView="100" workbookViewId="0">
      <selection activeCell="C30" sqref="C30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28</v>
      </c>
      <c r="D3" s="59"/>
      <c r="E3" s="59"/>
      <c r="F3" s="59"/>
      <c r="G3" s="60"/>
    </row>
    <row r="4" spans="1:7" ht="20.25" x14ac:dyDescent="0.25">
      <c r="A4" s="58"/>
      <c r="B4" s="63" t="s">
        <v>1</v>
      </c>
      <c r="C4" s="64" t="s">
        <v>32</v>
      </c>
      <c r="D4" s="59"/>
      <c r="E4" s="59"/>
      <c r="F4" s="59"/>
      <c r="G4" s="60"/>
    </row>
    <row r="5" spans="1:7" ht="20.25" x14ac:dyDescent="0.25">
      <c r="A5" s="58"/>
      <c r="B5" s="63" t="s">
        <v>2</v>
      </c>
      <c r="C5" s="64" t="s">
        <v>29</v>
      </c>
      <c r="D5" s="59"/>
      <c r="E5" s="59"/>
      <c r="F5" s="59"/>
      <c r="G5" s="60"/>
    </row>
    <row r="6" spans="1:7" ht="21" thickBot="1" x14ac:dyDescent="0.3">
      <c r="A6" s="58"/>
      <c r="B6" s="65" t="s">
        <v>3</v>
      </c>
      <c r="C6" s="66" t="s">
        <v>4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5</v>
      </c>
      <c r="C9" s="67">
        <v>45530</v>
      </c>
      <c r="D9" s="59"/>
      <c r="E9" s="59"/>
      <c r="F9" s="59"/>
      <c r="G9" s="60"/>
    </row>
    <row r="10" spans="1:7" ht="20.25" x14ac:dyDescent="0.25">
      <c r="A10" s="58"/>
      <c r="B10" s="68" t="s">
        <v>6</v>
      </c>
      <c r="C10" s="69">
        <v>45593</v>
      </c>
      <c r="D10" s="59"/>
      <c r="E10" s="59"/>
      <c r="F10" s="59"/>
      <c r="G10" s="60"/>
    </row>
    <row r="11" spans="1:7" ht="20.25" x14ac:dyDescent="0.25">
      <c r="A11" s="58"/>
      <c r="B11" s="68" t="s">
        <v>7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8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9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10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1" t="s">
        <v>11</v>
      </c>
      <c r="C19" s="92"/>
      <c r="D19" s="59"/>
      <c r="E19" s="59"/>
      <c r="F19" s="59"/>
      <c r="G19" s="60"/>
    </row>
    <row r="20" spans="1:7" ht="20.25" x14ac:dyDescent="0.25">
      <c r="A20" s="78"/>
      <c r="B20" s="79" t="s">
        <v>12</v>
      </c>
      <c r="C20" s="80" t="s">
        <v>13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86" t="s">
        <v>14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86" t="s">
        <v>15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86" t="s">
        <v>16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86" t="s">
        <v>33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86" t="s">
        <v>34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86" t="s">
        <v>35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86" t="s">
        <v>36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 t="s">
        <v>41</v>
      </c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 t="s">
        <v>42</v>
      </c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2" r:id="rId5" name="btnCreateDiagram">
          <controlPr defaultSize="0" autoLine="0" r:id="rId6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5" name="btnCreateDiagram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17</v>
      </c>
      <c r="C2" s="15" t="s">
        <v>18</v>
      </c>
    </row>
    <row r="3" spans="1:4" ht="19.5" customHeight="1" x14ac:dyDescent="0.25">
      <c r="A3" s="19"/>
      <c r="B3" s="93" t="s">
        <v>13</v>
      </c>
      <c r="C3" s="16">
        <v>0</v>
      </c>
    </row>
    <row r="4" spans="1:4" ht="19.5" customHeight="1" x14ac:dyDescent="0.25">
      <c r="A4" s="19"/>
      <c r="B4" s="94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19</v>
      </c>
      <c r="C3" s="27">
        <v>0</v>
      </c>
    </row>
    <row r="4" spans="2:3" ht="18.75" thickBot="1" x14ac:dyDescent="0.3">
      <c r="B4" s="26" t="s">
        <v>20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21</v>
      </c>
      <c r="B1" s="7">
        <v>1</v>
      </c>
      <c r="C1" s="17"/>
      <c r="D1" s="85"/>
    </row>
    <row r="2" spans="1:4" ht="27.75" thickBot="1" x14ac:dyDescent="0.3">
      <c r="A2" s="8" t="s">
        <v>22</v>
      </c>
      <c r="B2" s="18" t="s">
        <v>23</v>
      </c>
      <c r="C2" s="8" t="s">
        <v>24</v>
      </c>
      <c r="D2" s="8" t="s">
        <v>25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26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21</v>
      </c>
      <c r="B1" s="43">
        <v>1</v>
      </c>
      <c r="C1" s="44" t="s">
        <v>27</v>
      </c>
      <c r="D1" s="53"/>
    </row>
    <row r="2" spans="1:4" ht="27.75" thickBot="1" x14ac:dyDescent="0.3">
      <c r="A2" s="45" t="s">
        <v>22</v>
      </c>
      <c r="B2" s="46" t="s">
        <v>23</v>
      </c>
      <c r="C2" s="45" t="s">
        <v>24</v>
      </c>
      <c r="D2" s="45" t="s">
        <v>25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26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04D11-50CE-41D3-A331-9A42F5630C93}">
  <sheetPr codeName="Feuil9"/>
  <dimension ref="A1:H191"/>
  <sheetViews>
    <sheetView tabSelected="1" topLeftCell="A16" workbookViewId="0">
      <selection activeCell="C30" sqref="C30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21</v>
      </c>
      <c r="B1" s="43">
        <v>1</v>
      </c>
      <c r="C1" s="44" t="s">
        <v>27</v>
      </c>
      <c r="D1" s="53">
        <v>45615</v>
      </c>
    </row>
    <row r="2" spans="1:4" ht="27.75" thickBot="1" x14ac:dyDescent="0.3">
      <c r="A2" s="45" t="s">
        <v>22</v>
      </c>
      <c r="B2" s="46" t="s">
        <v>23</v>
      </c>
      <c r="C2" s="45" t="s">
        <v>24</v>
      </c>
      <c r="D2" s="45" t="s">
        <v>25</v>
      </c>
    </row>
    <row r="3" spans="1:4" s="52" customFormat="1" x14ac:dyDescent="0.25">
      <c r="A3" s="5" t="s">
        <v>33</v>
      </c>
      <c r="B3" s="4">
        <v>3</v>
      </c>
      <c r="C3" s="89" t="s">
        <v>37</v>
      </c>
      <c r="D3" s="9"/>
    </row>
    <row r="4" spans="1:4" s="52" customFormat="1" ht="27" x14ac:dyDescent="0.25">
      <c r="A4" s="1" t="s">
        <v>34</v>
      </c>
      <c r="B4" s="2">
        <v>3</v>
      </c>
      <c r="C4" s="90" t="s">
        <v>38</v>
      </c>
      <c r="D4" s="10"/>
    </row>
    <row r="5" spans="1:4" s="52" customFormat="1" x14ac:dyDescent="0.25">
      <c r="A5" s="1" t="s">
        <v>35</v>
      </c>
      <c r="B5" s="2">
        <v>4</v>
      </c>
      <c r="C5" s="90" t="s">
        <v>39</v>
      </c>
      <c r="D5" s="10"/>
    </row>
    <row r="6" spans="1:4" s="52" customFormat="1" x14ac:dyDescent="0.25">
      <c r="A6" s="1" t="s">
        <v>36</v>
      </c>
      <c r="B6" s="2">
        <v>2</v>
      </c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26</v>
      </c>
      <c r="B18" s="47">
        <f>SUM(B3:B17)</f>
        <v>12</v>
      </c>
      <c r="C18" s="87">
        <v>12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21</v>
      </c>
      <c r="B20" s="43">
        <v>2</v>
      </c>
      <c r="C20" s="44" t="s">
        <v>27</v>
      </c>
      <c r="D20" s="53">
        <v>45630</v>
      </c>
    </row>
    <row r="21" spans="1:8" ht="27.75" thickBot="1" x14ac:dyDescent="0.3">
      <c r="A21" s="45" t="s">
        <v>22</v>
      </c>
      <c r="B21" s="46" t="s">
        <v>23</v>
      </c>
      <c r="C21" s="45" t="s">
        <v>24</v>
      </c>
      <c r="D21" s="45" t="s">
        <v>25</v>
      </c>
    </row>
    <row r="22" spans="1:8" ht="27" x14ac:dyDescent="0.25">
      <c r="A22" s="5" t="s">
        <v>35</v>
      </c>
      <c r="B22" s="4">
        <v>3</v>
      </c>
      <c r="C22" s="89" t="s">
        <v>40</v>
      </c>
      <c r="D22" s="9"/>
    </row>
    <row r="23" spans="1:8" x14ac:dyDescent="0.25">
      <c r="A23" s="1" t="s">
        <v>36</v>
      </c>
      <c r="B23" s="2"/>
      <c r="C23" s="10"/>
      <c r="D23" s="10"/>
    </row>
    <row r="24" spans="1:8" x14ac:dyDescent="0.25">
      <c r="A24" s="1" t="s">
        <v>41</v>
      </c>
      <c r="B24" s="2">
        <v>3</v>
      </c>
      <c r="C24" s="90" t="s">
        <v>43</v>
      </c>
      <c r="D24" s="10"/>
    </row>
    <row r="25" spans="1:8" ht="12.75" customHeight="1" x14ac:dyDescent="0.25">
      <c r="A25" s="1" t="s">
        <v>42</v>
      </c>
      <c r="B25" s="2">
        <v>1</v>
      </c>
      <c r="C25" s="90" t="s">
        <v>44</v>
      </c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26</v>
      </c>
      <c r="B37" s="47">
        <f>SUM(B22:B36)</f>
        <v>7</v>
      </c>
      <c r="C37" s="87" t="s">
        <v>30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21</v>
      </c>
      <c r="B39" s="43">
        <v>3</v>
      </c>
      <c r="C39" s="44" t="s">
        <v>27</v>
      </c>
      <c r="D39" s="53">
        <f>$D$20+7</f>
        <v>45637</v>
      </c>
    </row>
    <row r="40" spans="1:8" ht="27.75" thickBot="1" x14ac:dyDescent="0.3">
      <c r="A40" s="45" t="s">
        <v>22</v>
      </c>
      <c r="B40" s="46" t="s">
        <v>23</v>
      </c>
      <c r="C40" s="45" t="s">
        <v>24</v>
      </c>
      <c r="D40" s="45" t="s">
        <v>25</v>
      </c>
    </row>
    <row r="41" spans="1:8" x14ac:dyDescent="0.25">
      <c r="A41" s="5"/>
      <c r="B41" s="4"/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26</v>
      </c>
      <c r="B56" s="47">
        <f>SUM(B41:B55)</f>
        <v>0</v>
      </c>
      <c r="C56" s="87" t="s">
        <v>30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21</v>
      </c>
      <c r="B58" s="43">
        <v>4</v>
      </c>
      <c r="C58" s="44" t="s">
        <v>27</v>
      </c>
      <c r="D58" s="53">
        <f>$D$39+7</f>
        <v>45644</v>
      </c>
    </row>
    <row r="59" spans="1:4" ht="27.75" thickBot="1" x14ac:dyDescent="0.3">
      <c r="A59" s="45" t="s">
        <v>22</v>
      </c>
      <c r="B59" s="46" t="s">
        <v>23</v>
      </c>
      <c r="C59" s="45" t="s">
        <v>24</v>
      </c>
      <c r="D59" s="45" t="s">
        <v>25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26</v>
      </c>
      <c r="B75" s="47">
        <f>SUM(B60:B74)</f>
        <v>0</v>
      </c>
      <c r="C75" s="87" t="s">
        <v>30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21</v>
      </c>
      <c r="B77" s="43">
        <v>5</v>
      </c>
      <c r="C77" s="44" t="s">
        <v>27</v>
      </c>
      <c r="D77" s="53">
        <f>$D$58+7</f>
        <v>45651</v>
      </c>
    </row>
    <row r="78" spans="1:4" ht="27.75" thickBot="1" x14ac:dyDescent="0.3">
      <c r="A78" s="45" t="s">
        <v>22</v>
      </c>
      <c r="B78" s="46" t="s">
        <v>23</v>
      </c>
      <c r="C78" s="45" t="s">
        <v>24</v>
      </c>
      <c r="D78" s="45" t="s">
        <v>25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26</v>
      </c>
      <c r="B94" s="47">
        <f>SUM(B79:B93)</f>
        <v>0</v>
      </c>
      <c r="C94" s="87" t="s">
        <v>30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21</v>
      </c>
      <c r="B96" s="43">
        <v>6</v>
      </c>
      <c r="C96" s="44" t="s">
        <v>27</v>
      </c>
      <c r="D96" s="53">
        <f>$D$77+7</f>
        <v>45658</v>
      </c>
    </row>
    <row r="97" spans="1:4" ht="27.75" thickBot="1" x14ac:dyDescent="0.3">
      <c r="A97" s="45" t="s">
        <v>22</v>
      </c>
      <c r="B97" s="46" t="s">
        <v>23</v>
      </c>
      <c r="C97" s="45" t="s">
        <v>24</v>
      </c>
      <c r="D97" s="45" t="s">
        <v>25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26</v>
      </c>
      <c r="B113" s="47">
        <f>SUM(B98:B112)</f>
        <v>0</v>
      </c>
      <c r="C113" s="87" t="s">
        <v>30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21</v>
      </c>
      <c r="B115" s="43">
        <v>7</v>
      </c>
      <c r="C115" s="44" t="s">
        <v>27</v>
      </c>
      <c r="D115" s="53">
        <f>$D$96+7</f>
        <v>45665</v>
      </c>
    </row>
    <row r="116" spans="1:4" ht="27.75" thickBot="1" x14ac:dyDescent="0.3">
      <c r="A116" s="45" t="s">
        <v>22</v>
      </c>
      <c r="B116" s="46" t="s">
        <v>23</v>
      </c>
      <c r="C116" s="45" t="s">
        <v>24</v>
      </c>
      <c r="D116" s="45" t="s">
        <v>25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26</v>
      </c>
      <c r="B132" s="47">
        <f>SUM(B117:B131)</f>
        <v>0</v>
      </c>
      <c r="C132" s="87" t="s">
        <v>30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21</v>
      </c>
      <c r="B134" s="43">
        <v>8</v>
      </c>
      <c r="C134" s="44" t="s">
        <v>27</v>
      </c>
      <c r="D134" s="53">
        <f>$D$115+7</f>
        <v>45672</v>
      </c>
    </row>
    <row r="135" spans="1:4" ht="27.75" thickBot="1" x14ac:dyDescent="0.3">
      <c r="A135" s="45" t="s">
        <v>22</v>
      </c>
      <c r="B135" s="46" t="s">
        <v>23</v>
      </c>
      <c r="C135" s="45" t="s">
        <v>24</v>
      </c>
      <c r="D135" s="45" t="s">
        <v>25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26</v>
      </c>
      <c r="B151" s="47">
        <f>SUM(B136:B150)</f>
        <v>0</v>
      </c>
      <c r="C151" s="87" t="s">
        <v>30</v>
      </c>
      <c r="D151" s="48"/>
    </row>
    <row r="152" spans="1:4" ht="15" thickBot="1" x14ac:dyDescent="0.35">
      <c r="A152" s="49"/>
      <c r="B152" s="49"/>
      <c r="C152" s="49"/>
      <c r="D152" s="49"/>
    </row>
    <row r="153" spans="1:4" ht="18.75" thickBot="1" x14ac:dyDescent="0.3">
      <c r="A153" s="42" t="s">
        <v>21</v>
      </c>
      <c r="B153" s="43">
        <v>9</v>
      </c>
      <c r="C153" s="44" t="s">
        <v>27</v>
      </c>
      <c r="D153" s="53">
        <f>$D$134+7</f>
        <v>45679</v>
      </c>
    </row>
    <row r="154" spans="1:4" ht="27.75" thickBot="1" x14ac:dyDescent="0.3">
      <c r="A154" s="45" t="s">
        <v>22</v>
      </c>
      <c r="B154" s="46" t="s">
        <v>23</v>
      </c>
      <c r="C154" s="45" t="s">
        <v>24</v>
      </c>
      <c r="D154" s="45" t="s">
        <v>25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0"/>
      <c r="B167" s="50"/>
      <c r="C167" s="51"/>
      <c r="D167" s="51"/>
    </row>
    <row r="168" spans="1:4" x14ac:dyDescent="0.25">
      <c r="A168" s="50"/>
      <c r="B168" s="50"/>
      <c r="C168" s="51"/>
      <c r="D168" s="51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7" t="s">
        <v>26</v>
      </c>
      <c r="B170" s="47">
        <f>SUM(B155:B169)</f>
        <v>0</v>
      </c>
      <c r="C170" s="87" t="s">
        <v>30</v>
      </c>
      <c r="D170" s="48"/>
    </row>
    <row r="171" spans="1:4" ht="15" thickBot="1" x14ac:dyDescent="0.35">
      <c r="A171" s="49"/>
      <c r="B171" s="49"/>
      <c r="C171" s="49"/>
      <c r="D171" s="49"/>
    </row>
    <row r="172" spans="1:4" ht="18.75" thickBot="1" x14ac:dyDescent="0.3">
      <c r="A172" s="42" t="s">
        <v>21</v>
      </c>
      <c r="B172" s="43">
        <v>10</v>
      </c>
      <c r="C172" s="44" t="s">
        <v>27</v>
      </c>
      <c r="D172" s="53">
        <f>$D$153+7</f>
        <v>45686</v>
      </c>
    </row>
    <row r="173" spans="1:4" ht="27.75" thickBot="1" x14ac:dyDescent="0.3">
      <c r="A173" s="45" t="s">
        <v>22</v>
      </c>
      <c r="B173" s="46" t="s">
        <v>23</v>
      </c>
      <c r="C173" s="45" t="s">
        <v>24</v>
      </c>
      <c r="D173" s="45" t="s">
        <v>25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0"/>
      <c r="B186" s="50"/>
      <c r="C186" s="51"/>
      <c r="D186" s="51"/>
    </row>
    <row r="187" spans="1:4" x14ac:dyDescent="0.25">
      <c r="A187" s="50"/>
      <c r="B187" s="50"/>
      <c r="C187" s="51"/>
      <c r="D187" s="51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7" t="s">
        <v>26</v>
      </c>
      <c r="B189" s="47">
        <f>SUM(B174:B188)</f>
        <v>0</v>
      </c>
      <c r="C189" s="87" t="s">
        <v>30</v>
      </c>
      <c r="D189" s="48"/>
    </row>
    <row r="190" spans="1:4" ht="14.25" x14ac:dyDescent="0.3">
      <c r="A190" s="49"/>
      <c r="B190" s="49"/>
      <c r="C190" s="49"/>
      <c r="D190" s="49"/>
    </row>
    <row r="191" spans="1:4" x14ac:dyDescent="0.25">
      <c r="A191" s="88" t="s">
        <v>31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76AD69DA-32C5-4E18-8844-0ADAD11C3C8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" xr:uid="{DEB27EC5-013D-4580-8549-037815197387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A6BC2024-4E2D-43F3-9824-C5A2CCB092AE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" xr:uid="{6F0CD131-8198-4C89-BA12-02AEA172DDEC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e0d3259-a7ce-4623-88ec-81594dfcbc1c" xsi:nil="true"/>
    <lcf76f155ced4ddcb4097134ff3c332f xmlns="99ffe1f3-7857-457f-add0-5bdef636f38d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20F00DBE2EE49BE9523363A2DF18B" ma:contentTypeVersion="11" ma:contentTypeDescription="Crée un document." ma:contentTypeScope="" ma:versionID="4429a75fd21126f386fa8dc99af95987">
  <xsd:schema xmlns:xsd="http://www.w3.org/2001/XMLSchema" xmlns:xs="http://www.w3.org/2001/XMLSchema" xmlns:p="http://schemas.microsoft.com/office/2006/metadata/properties" xmlns:ns2="99ffe1f3-7857-457f-add0-5bdef636f38d" xmlns:ns3="be0d3259-a7ce-4623-88ec-81594dfcbc1c" targetNamespace="http://schemas.microsoft.com/office/2006/metadata/properties" ma:root="true" ma:fieldsID="67641ce52614d93f24621e1e48eebeaa" ns2:_="" ns3:_="">
    <xsd:import namespace="99ffe1f3-7857-457f-add0-5bdef636f38d"/>
    <xsd:import namespace="be0d3259-a7ce-4623-88ec-81594dfcb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ffe1f3-7857-457f-add0-5bdef636f3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5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0d3259-a7ce-4623-88ec-81594dfcbc1c" elementFormDefault="qualified">
    <xsd:import namespace="http://schemas.microsoft.com/office/2006/documentManagement/types"/>
    <xsd:import namespace="http://schemas.microsoft.com/office/infopath/2007/PartnerControls"/>
    <xsd:element name="TaxCatchAll" ma:index="16" nillable="true" ma:displayName="Taxonomy Catch All Column" ma:hidden="true" ma:list="{50ea6bdb-6c86-4af1-8965-214a2581cc84}" ma:internalName="TaxCatchAll" ma:showField="CatchAllData" ma:web="be0d3259-a7ce-4623-88ec-81594dfcb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FDE287E-04A5-4FFC-8CE7-DEDFA3FBE482}">
  <ds:schemaRefs>
    <ds:schemaRef ds:uri="http://schemas.microsoft.com/office/2006/metadata/properties"/>
    <ds:schemaRef ds:uri="http://schemas.microsoft.com/office/infopath/2007/PartnerControls"/>
    <ds:schemaRef ds:uri="be0d3259-a7ce-4623-88ec-81594dfcbc1c"/>
    <ds:schemaRef ds:uri="99ffe1f3-7857-457f-add0-5bdef636f38d"/>
  </ds:schemaRefs>
</ds:datastoreItem>
</file>

<file path=customXml/itemProps2.xml><?xml version="1.0" encoding="utf-8"?>
<ds:datastoreItem xmlns:ds="http://schemas.openxmlformats.org/officeDocument/2006/customXml" ds:itemID="{C107ED59-989A-4FC2-9890-A5348E146C2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77F2CA9-3F9E-4061-909E-04B5C5D75F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9ffe1f3-7857-457f-add0-5bdef636f38d"/>
    <ds:schemaRef ds:uri="be0d3259-a7ce-4623-88ec-81594dfcb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Valentin Diezi</dc:creator>
  <cp:keywords/>
  <dc:description/>
  <cp:lastModifiedBy>Aleksandar Stoilov</cp:lastModifiedBy>
  <cp:revision/>
  <dcterms:created xsi:type="dcterms:W3CDTF">1996-10-21T11:03:58Z</dcterms:created>
  <dcterms:modified xsi:type="dcterms:W3CDTF">2024-12-04T10:25:23Z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0x010100D4F20F00DBE2EE49BE9523363A2DF18B</vt:lpwstr>
  </property>
  <property fmtid="{D5CDD505-2E9C-101B-9397-08002B2CF9AE}" pid="3" name="MediaServiceImageTags">
    <vt:lpwstr/>
  </property>
</Properties>
</file>